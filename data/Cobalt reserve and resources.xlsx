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adrmas002_myuct_ac_za/Documents/"/>
    </mc:Choice>
  </mc:AlternateContent>
  <xr:revisionPtr revIDLastSave="22" documentId="8_{35FD21BA-14E5-462E-9D48-92538F0AB811}" xr6:coauthVersionLast="47" xr6:coauthVersionMax="47" xr10:uidLastSave="{B42EEF5A-41E9-4A00-93C1-DB09C922E4C3}"/>
  <bookViews>
    <workbookView xWindow="-110" yWindow="-110" windowWidth="19420" windowHeight="11500" xr2:uid="{F5B50F0D-EB68-4BAB-B1D6-DE3367BFF5FC}"/>
  </bookViews>
  <sheets>
    <sheet name="Cobal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72" i="1" l="1"/>
  <c r="G63" i="1"/>
  <c r="D63" i="1"/>
  <c r="G62" i="1"/>
  <c r="D62" i="1"/>
  <c r="G61" i="1"/>
  <c r="D61" i="1"/>
  <c r="G60" i="1"/>
  <c r="D60" i="1"/>
  <c r="G59" i="1"/>
  <c r="D59" i="1"/>
  <c r="G58" i="1"/>
  <c r="D58" i="1"/>
  <c r="G57" i="1"/>
  <c r="D57" i="1"/>
  <c r="G56" i="1"/>
  <c r="D56" i="1"/>
  <c r="G55" i="1"/>
  <c r="D55" i="1"/>
  <c r="G54" i="1"/>
  <c r="D54" i="1"/>
  <c r="G53" i="1"/>
  <c r="D53" i="1"/>
  <c r="G52" i="1"/>
  <c r="D52" i="1"/>
  <c r="G51" i="1"/>
  <c r="D51" i="1"/>
  <c r="G50" i="1"/>
  <c r="D50" i="1"/>
  <c r="G49" i="1"/>
  <c r="D49" i="1"/>
  <c r="G48" i="1"/>
  <c r="D48" i="1"/>
  <c r="G47" i="1"/>
  <c r="D47" i="1"/>
  <c r="G46" i="1"/>
  <c r="D46" i="1"/>
  <c r="G45" i="1"/>
  <c r="D45" i="1"/>
  <c r="G44" i="1"/>
  <c r="D44" i="1"/>
  <c r="G43" i="1"/>
  <c r="D43" i="1"/>
  <c r="G42" i="1"/>
  <c r="D42" i="1"/>
  <c r="G41" i="1"/>
  <c r="D41" i="1"/>
  <c r="G40" i="1"/>
  <c r="D40" i="1"/>
  <c r="G39" i="1"/>
  <c r="D39" i="1"/>
  <c r="G38" i="1"/>
  <c r="D38" i="1"/>
  <c r="G37" i="1"/>
  <c r="D37" i="1"/>
  <c r="G36" i="1"/>
  <c r="D36" i="1"/>
  <c r="G35" i="1"/>
  <c r="D35" i="1"/>
  <c r="G34" i="1"/>
  <c r="D34" i="1"/>
  <c r="G33" i="1"/>
  <c r="D33" i="1"/>
  <c r="G32" i="1"/>
  <c r="D32" i="1"/>
  <c r="G31" i="1"/>
  <c r="D31" i="1"/>
  <c r="G30" i="1"/>
  <c r="D30" i="1"/>
  <c r="G29" i="1"/>
  <c r="D29" i="1"/>
  <c r="G28" i="1"/>
  <c r="D28" i="1"/>
  <c r="G27" i="1"/>
  <c r="D27" i="1"/>
  <c r="G26" i="1"/>
  <c r="D26" i="1"/>
  <c r="G25" i="1"/>
  <c r="D25" i="1"/>
  <c r="G24" i="1"/>
  <c r="D24" i="1"/>
  <c r="G23" i="1"/>
  <c r="D23" i="1"/>
  <c r="G22" i="1"/>
  <c r="D22" i="1"/>
  <c r="G21" i="1"/>
  <c r="D21" i="1"/>
  <c r="G20" i="1"/>
  <c r="D20" i="1"/>
  <c r="G19" i="1"/>
  <c r="D19" i="1"/>
  <c r="G18" i="1"/>
  <c r="D18" i="1"/>
  <c r="G17" i="1"/>
  <c r="D17" i="1"/>
  <c r="G16" i="1"/>
  <c r="D16" i="1"/>
  <c r="G15" i="1"/>
  <c r="D15" i="1"/>
  <c r="G14" i="1"/>
  <c r="D14" i="1"/>
  <c r="G13" i="1"/>
  <c r="D13" i="1"/>
  <c r="G12" i="1"/>
  <c r="D12" i="1"/>
  <c r="G11" i="1"/>
  <c r="D11" i="1"/>
  <c r="G10" i="1"/>
  <c r="D10" i="1"/>
  <c r="G9" i="1"/>
  <c r="D9" i="1"/>
  <c r="G8" i="1"/>
  <c r="D8" i="1"/>
  <c r="G7" i="1"/>
  <c r="D7" i="1"/>
  <c r="G6" i="1"/>
  <c r="D6" i="1"/>
  <c r="G5" i="1"/>
  <c r="D5" i="1"/>
  <c r="G4" i="1"/>
  <c r="D4" i="1"/>
  <c r="G3" i="1"/>
  <c r="D3" i="1"/>
  <c r="G2" i="1"/>
  <c r="D2" i="1"/>
  <c r="F66" i="1" l="1"/>
  <c r="F68" i="1" s="1"/>
  <c r="F69" i="1" s="1"/>
  <c r="F73" i="1" s="1"/>
  <c r="G73" i="1" s="1"/>
</calcChain>
</file>

<file path=xl/sharedStrings.xml><?xml version="1.0" encoding="utf-8"?>
<sst xmlns="http://schemas.openxmlformats.org/spreadsheetml/2006/main" count="77" uniqueCount="76">
  <si>
    <t>Number</t>
  </si>
  <si>
    <t>Name of the deposit</t>
  </si>
  <si>
    <t>Tonnage (Mt)</t>
  </si>
  <si>
    <t>Cu (Mt)</t>
  </si>
  <si>
    <t>Cu(%)</t>
  </si>
  <si>
    <t>Co(%)</t>
  </si>
  <si>
    <t>CocO (kt)</t>
  </si>
  <si>
    <t>Kambove Principal and Kambove west</t>
  </si>
  <si>
    <t>Kolwezi</t>
  </si>
  <si>
    <t>M'sesa</t>
  </si>
  <si>
    <t>Kinsenda</t>
  </si>
  <si>
    <t>kakula reserves</t>
  </si>
  <si>
    <t>Kasonta</t>
  </si>
  <si>
    <t>Kamwale</t>
  </si>
  <si>
    <t>Kamatanda</t>
  </si>
  <si>
    <t>Kamoto Kov Musonoie Mupine</t>
  </si>
  <si>
    <t>Kipapila</t>
  </si>
  <si>
    <t>Shituru</t>
  </si>
  <si>
    <t>Fungurume</t>
  </si>
  <si>
    <t>Etoile</t>
  </si>
  <si>
    <t>Bangwe</t>
  </si>
  <si>
    <t>Lukuni</t>
  </si>
  <si>
    <t>Mutoshi</t>
  </si>
  <si>
    <t>Kinsevere</t>
  </si>
  <si>
    <t>Mutoshi Northwest</t>
  </si>
  <si>
    <t>Kimbwe</t>
  </si>
  <si>
    <t>Karavia</t>
  </si>
  <si>
    <t>kamoa reserves</t>
  </si>
  <si>
    <t>Kalumbwe-Myunga</t>
  </si>
  <si>
    <t>Shamitumba</t>
  </si>
  <si>
    <t>Kazibizi</t>
  </si>
  <si>
    <t>Shinkolobwe Signal</t>
  </si>
  <si>
    <t>Lwishia</t>
  </si>
  <si>
    <t>Mwandinkomba</t>
  </si>
  <si>
    <t>Dilala</t>
  </si>
  <si>
    <t>Luita</t>
  </si>
  <si>
    <t>Kakanda East-North-South</t>
  </si>
  <si>
    <t>Ruashi</t>
  </si>
  <si>
    <t>Dima</t>
  </si>
  <si>
    <t>kakula indicated</t>
  </si>
  <si>
    <t>Kamoa indicated</t>
  </si>
  <si>
    <t>Kamfundwa</t>
  </si>
  <si>
    <t>Kamoya</t>
  </si>
  <si>
    <t>Kiwana II</t>
  </si>
  <si>
    <t>Saafi</t>
  </si>
  <si>
    <t>Disele/Kenkeru</t>
  </si>
  <si>
    <t>Lupoto</t>
  </si>
  <si>
    <t>Principal-Anticline</t>
  </si>
  <si>
    <t>Lwiswishi</t>
  </si>
  <si>
    <t>Kansalawile-Mambilima</t>
  </si>
  <si>
    <t>Fwalu</t>
  </si>
  <si>
    <t>Kalukundi-kii</t>
  </si>
  <si>
    <t>Kabolela North and south</t>
  </si>
  <si>
    <t>Niamumenda</t>
  </si>
  <si>
    <t>Lubembe</t>
  </si>
  <si>
    <t>Tenke</t>
  </si>
  <si>
    <t>Mukonda</t>
  </si>
  <si>
    <t>Lufomboshi</t>
  </si>
  <si>
    <t>Kwatebala</t>
  </si>
  <si>
    <t>Taratara</t>
  </si>
  <si>
    <t>Kananga</t>
  </si>
  <si>
    <t>Karu East</t>
  </si>
  <si>
    <t>Mutoshi (breche)</t>
  </si>
  <si>
    <t>kamoa inferred</t>
  </si>
  <si>
    <t>Kakula</t>
  </si>
  <si>
    <t>Kasonta south</t>
  </si>
  <si>
    <t>Kababankola</t>
  </si>
  <si>
    <t>Kipoi North</t>
  </si>
  <si>
    <t>Mutanda ya Munkota</t>
  </si>
  <si>
    <t>Recovery rate</t>
  </si>
  <si>
    <t>Known deposits )kt)</t>
  </si>
  <si>
    <t>Potential recoverable cobalt (kt)</t>
  </si>
  <si>
    <t>Production from 1925 to 2009 (kt)</t>
  </si>
  <si>
    <t>Prospective resources (kt)</t>
  </si>
  <si>
    <t>URR Known Deposits (kt)</t>
  </si>
  <si>
    <t>URR known deposits and prospective resources (kt)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</si>
</sst>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0" borderId="0" xfId="0" applyFill="1"/>
    <xf numFmtId="9" fontId="0" fillId="0" borderId="0" xfId="0" applyNumberFormat="1" applyFill="1"/>
    <xf numFmtId="0" fontId="1" fillId="0" borderId="0" xfId="0" applyFont="1" applyFill="1"/>
    <xf numFmtId="2" fontId="1" fillId="0" borderId="0" xfId="0" applyNumberFormat="1" applyFont="1" applyFill="1"/>
    <xf numFmtId="0" fontId="1" fillId="3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9EAD7-8A5A-4EDC-B069-15165895C5C0}">
  <dimension ref="A1:G73"/>
  <sheetViews>
    <sheetView tabSelected="1" topLeftCell="A54" workbookViewId="0">
      <selection activeCell="C69" sqref="C69"/>
    </sheetView>
  </sheetViews>
  <sheetFormatPr defaultRowHeight="14.5" x14ac:dyDescent="0.35"/>
  <cols>
    <col min="1" max="1" width="8.7265625" style="7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6">
        <v>1</v>
      </c>
      <c r="B2" s="2" t="s">
        <v>7</v>
      </c>
      <c r="C2" s="2">
        <v>46.9</v>
      </c>
      <c r="D2" s="2">
        <f>C2*E2/100</f>
        <v>3.0907099999999996</v>
      </c>
      <c r="E2" s="2">
        <v>6.59</v>
      </c>
      <c r="F2" s="2">
        <v>0.21299999999999999</v>
      </c>
      <c r="G2" s="2">
        <f>(C2*F2/100)*1000</f>
        <v>99.896999999999991</v>
      </c>
    </row>
    <row r="3" spans="1:7" x14ac:dyDescent="0.35">
      <c r="A3" s="6">
        <v>2</v>
      </c>
      <c r="B3" s="2" t="s">
        <v>8</v>
      </c>
      <c r="C3" s="2">
        <v>20</v>
      </c>
      <c r="D3" s="2">
        <f>C3*E3/100</f>
        <v>1.2</v>
      </c>
      <c r="E3" s="2">
        <v>6</v>
      </c>
      <c r="F3" s="2">
        <v>0.01</v>
      </c>
      <c r="G3" s="2">
        <f>(C3*F3/100)*1000</f>
        <v>2</v>
      </c>
    </row>
    <row r="4" spans="1:7" x14ac:dyDescent="0.35">
      <c r="A4" s="6">
        <v>3</v>
      </c>
      <c r="B4" s="2" t="s">
        <v>9</v>
      </c>
      <c r="C4" s="2">
        <v>8</v>
      </c>
      <c r="D4" s="2">
        <f>C4*E4/100</f>
        <v>0.47200000000000003</v>
      </c>
      <c r="E4" s="2">
        <v>5.9</v>
      </c>
      <c r="F4" s="2">
        <v>0.21299999999999999</v>
      </c>
      <c r="G4" s="2">
        <f>(C4*F4/100)*1000</f>
        <v>17.04</v>
      </c>
    </row>
    <row r="5" spans="1:7" x14ac:dyDescent="0.35">
      <c r="A5" s="6">
        <v>4</v>
      </c>
      <c r="B5" s="2" t="s">
        <v>10</v>
      </c>
      <c r="C5" s="2">
        <v>35</v>
      </c>
      <c r="D5" s="2">
        <f>C5*E5/100</f>
        <v>1.925</v>
      </c>
      <c r="E5" s="2">
        <v>5.5</v>
      </c>
      <c r="F5" s="2">
        <v>0</v>
      </c>
      <c r="G5" s="2">
        <f>(C5*F5/100)*1000</f>
        <v>0</v>
      </c>
    </row>
    <row r="6" spans="1:7" x14ac:dyDescent="0.35">
      <c r="A6" s="6">
        <v>5</v>
      </c>
      <c r="B6" s="2" t="s">
        <v>11</v>
      </c>
      <c r="C6" s="2">
        <v>119.7</v>
      </c>
      <c r="D6" s="2">
        <f>C6*E6/100</f>
        <v>6.5595600000000003</v>
      </c>
      <c r="E6" s="2">
        <v>5.48</v>
      </c>
      <c r="F6" s="2">
        <v>0</v>
      </c>
      <c r="G6" s="2">
        <f>(C6*F6/100)*1000</f>
        <v>0</v>
      </c>
    </row>
    <row r="7" spans="1:7" x14ac:dyDescent="0.35">
      <c r="A7" s="6">
        <v>6</v>
      </c>
      <c r="B7" s="2" t="s">
        <v>12</v>
      </c>
      <c r="C7" s="2">
        <v>1.5</v>
      </c>
      <c r="D7" s="2">
        <f>C7*E7/100</f>
        <v>7.7699999999999991E-2</v>
      </c>
      <c r="E7" s="2">
        <v>5.18</v>
      </c>
      <c r="F7" s="2">
        <v>0</v>
      </c>
      <c r="G7" s="2">
        <f>(C7*F7/100)*1000</f>
        <v>0</v>
      </c>
    </row>
    <row r="8" spans="1:7" x14ac:dyDescent="0.35">
      <c r="A8" s="6">
        <v>7</v>
      </c>
      <c r="B8" s="2" t="s">
        <v>13</v>
      </c>
      <c r="C8" s="2">
        <v>1.56</v>
      </c>
      <c r="D8" s="2">
        <f>C8*E8/100</f>
        <v>7.6752000000000001E-2</v>
      </c>
      <c r="E8" s="2">
        <v>4.92</v>
      </c>
      <c r="F8" s="2">
        <v>1.96</v>
      </c>
      <c r="G8" s="2">
        <f>(C8*F8/100)*1000</f>
        <v>30.576000000000001</v>
      </c>
    </row>
    <row r="9" spans="1:7" x14ac:dyDescent="0.35">
      <c r="A9" s="6">
        <v>8</v>
      </c>
      <c r="B9" s="2" t="s">
        <v>14</v>
      </c>
      <c r="C9" s="2">
        <v>0.4</v>
      </c>
      <c r="D9" s="2">
        <f>C9*E9/100</f>
        <v>1.9600000000000003E-2</v>
      </c>
      <c r="E9" s="2">
        <v>4.9000000000000004</v>
      </c>
      <c r="F9" s="2">
        <v>0</v>
      </c>
      <c r="G9" s="2">
        <f>(C9*F9/100)*1000</f>
        <v>0</v>
      </c>
    </row>
    <row r="10" spans="1:7" x14ac:dyDescent="0.35">
      <c r="A10" s="6">
        <v>9</v>
      </c>
      <c r="B10" s="2" t="s">
        <v>15</v>
      </c>
      <c r="C10" s="2">
        <v>416</v>
      </c>
      <c r="D10" s="2">
        <f>C10*E10/100</f>
        <v>18.6784</v>
      </c>
      <c r="E10" s="2">
        <v>4.49</v>
      </c>
      <c r="F10" s="2">
        <v>0.38700000000000001</v>
      </c>
      <c r="G10" s="2">
        <f>(C10*F10/100)*1000</f>
        <v>1609.9200000000003</v>
      </c>
    </row>
    <row r="11" spans="1:7" x14ac:dyDescent="0.35">
      <c r="A11" s="6">
        <v>10</v>
      </c>
      <c r="B11" s="2" t="s">
        <v>16</v>
      </c>
      <c r="C11" s="2">
        <v>2.6</v>
      </c>
      <c r="D11" s="2">
        <f>C11*E11/100</f>
        <v>0.11440000000000002</v>
      </c>
      <c r="E11" s="2">
        <v>4.4000000000000004</v>
      </c>
      <c r="F11" s="2">
        <v>0.54</v>
      </c>
      <c r="G11" s="2">
        <f>(C11*F11/100)*1000</f>
        <v>14.040000000000003</v>
      </c>
    </row>
    <row r="12" spans="1:7" x14ac:dyDescent="0.35">
      <c r="A12" s="6">
        <v>11</v>
      </c>
      <c r="B12" s="2" t="s">
        <v>17</v>
      </c>
      <c r="C12" s="2">
        <v>7.86</v>
      </c>
      <c r="D12" s="2">
        <f>C12*E12/100</f>
        <v>0.34505400000000003</v>
      </c>
      <c r="E12" s="2">
        <v>4.3899999999999997</v>
      </c>
      <c r="F12" s="2">
        <v>0.68</v>
      </c>
      <c r="G12" s="2">
        <f>(C12*F12/100)*1000</f>
        <v>53.448</v>
      </c>
    </row>
    <row r="13" spans="1:7" x14ac:dyDescent="0.35">
      <c r="A13" s="6">
        <v>12</v>
      </c>
      <c r="B13" s="2" t="s">
        <v>18</v>
      </c>
      <c r="C13" s="2">
        <v>64.3</v>
      </c>
      <c r="D13" s="2">
        <f>C13*E13/100</f>
        <v>2.7841899999999997</v>
      </c>
      <c r="E13" s="2">
        <v>4.33</v>
      </c>
      <c r="F13" s="2">
        <v>0.36199999999999999</v>
      </c>
      <c r="G13" s="2">
        <f>(C13*F13/100)*1000</f>
        <v>232.76599999999996</v>
      </c>
    </row>
    <row r="14" spans="1:7" x14ac:dyDescent="0.35">
      <c r="A14" s="6">
        <v>13</v>
      </c>
      <c r="B14" s="2" t="s">
        <v>19</v>
      </c>
      <c r="C14" s="2">
        <v>29.7</v>
      </c>
      <c r="D14" s="2">
        <f>C14*E14/100</f>
        <v>1.28304</v>
      </c>
      <c r="E14" s="2">
        <v>4.32</v>
      </c>
      <c r="F14" s="2">
        <v>0.312</v>
      </c>
      <c r="G14" s="2">
        <f>(C14*F14/100)*1000</f>
        <v>92.664000000000001</v>
      </c>
    </row>
    <row r="15" spans="1:7" x14ac:dyDescent="0.35">
      <c r="A15" s="6">
        <v>14</v>
      </c>
      <c r="B15" s="2" t="s">
        <v>20</v>
      </c>
      <c r="C15" s="2">
        <v>0.24</v>
      </c>
      <c r="D15" s="2">
        <f>C15*E15/100</f>
        <v>1.0320000000000001E-2</v>
      </c>
      <c r="E15" s="2">
        <v>4.3</v>
      </c>
      <c r="F15" s="2">
        <v>0.3</v>
      </c>
      <c r="G15" s="2">
        <f>(C15*F15/100)*1000</f>
        <v>0.72</v>
      </c>
    </row>
    <row r="16" spans="1:7" x14ac:dyDescent="0.35">
      <c r="A16" s="6">
        <v>15</v>
      </c>
      <c r="B16" s="2" t="s">
        <v>21</v>
      </c>
      <c r="C16" s="2">
        <v>2.7</v>
      </c>
      <c r="D16" s="2">
        <f>C16*E16/100</f>
        <v>0.11609999999999999</v>
      </c>
      <c r="E16" s="2">
        <v>4.3</v>
      </c>
      <c r="F16" s="2">
        <v>0.1</v>
      </c>
      <c r="G16" s="2">
        <f>(C16*F16/100)*1000</f>
        <v>2.7</v>
      </c>
    </row>
    <row r="17" spans="1:7" x14ac:dyDescent="0.35">
      <c r="A17" s="6">
        <v>16</v>
      </c>
      <c r="B17" s="2" t="s">
        <v>22</v>
      </c>
      <c r="C17" s="2">
        <v>10.8</v>
      </c>
      <c r="D17" s="2">
        <f>C17*E17/100</f>
        <v>0.45360000000000006</v>
      </c>
      <c r="E17" s="2">
        <v>4.2</v>
      </c>
      <c r="F17" s="2">
        <v>0.30399999999999999</v>
      </c>
      <c r="G17" s="2">
        <f>(C17*F17/100)*1000</f>
        <v>32.832000000000001</v>
      </c>
    </row>
    <row r="18" spans="1:7" x14ac:dyDescent="0.35">
      <c r="A18" s="6">
        <v>17</v>
      </c>
      <c r="B18" s="2" t="s">
        <v>23</v>
      </c>
      <c r="C18" s="2">
        <v>50.2</v>
      </c>
      <c r="D18" s="2">
        <f>C18*E18/100</f>
        <v>2.0531800000000002</v>
      </c>
      <c r="E18" s="2">
        <v>4.09</v>
      </c>
      <c r="F18" s="2">
        <v>0</v>
      </c>
      <c r="G18" s="2">
        <f>(C18*F18/100)*1000</f>
        <v>0</v>
      </c>
    </row>
    <row r="19" spans="1:7" x14ac:dyDescent="0.35">
      <c r="A19" s="6">
        <v>18</v>
      </c>
      <c r="B19" s="2" t="s">
        <v>24</v>
      </c>
      <c r="C19" s="2">
        <v>10</v>
      </c>
      <c r="D19" s="2">
        <f>C19*E19/100</f>
        <v>0.4</v>
      </c>
      <c r="E19" s="2">
        <v>4</v>
      </c>
      <c r="F19" s="2">
        <v>0</v>
      </c>
      <c r="G19" s="2">
        <f>(C19*F19/100)*1000</f>
        <v>0</v>
      </c>
    </row>
    <row r="20" spans="1:7" x14ac:dyDescent="0.35">
      <c r="A20" s="6">
        <v>19</v>
      </c>
      <c r="B20" s="2" t="s">
        <v>25</v>
      </c>
      <c r="C20" s="2">
        <v>50</v>
      </c>
      <c r="D20" s="2">
        <f>C20*E20/100</f>
        <v>2</v>
      </c>
      <c r="E20" s="2">
        <v>4</v>
      </c>
      <c r="F20" s="2">
        <v>0</v>
      </c>
      <c r="G20" s="2">
        <f>(C20*F20/100)*1000</f>
        <v>0</v>
      </c>
    </row>
    <row r="21" spans="1:7" x14ac:dyDescent="0.35">
      <c r="A21" s="6">
        <v>20</v>
      </c>
      <c r="B21" s="2" t="s">
        <v>26</v>
      </c>
      <c r="C21" s="2">
        <v>0.55000000000000004</v>
      </c>
      <c r="D21" s="2">
        <f>C21*E21/100</f>
        <v>2.1560000000000003E-2</v>
      </c>
      <c r="E21" s="2">
        <v>3.92</v>
      </c>
      <c r="F21" s="2">
        <v>0</v>
      </c>
      <c r="G21" s="2">
        <f>(C21*F21/100)*1000</f>
        <v>0</v>
      </c>
    </row>
    <row r="22" spans="1:7" x14ac:dyDescent="0.35">
      <c r="A22" s="6">
        <v>21</v>
      </c>
      <c r="B22" s="2" t="s">
        <v>27</v>
      </c>
      <c r="C22" s="2">
        <v>125.2</v>
      </c>
      <c r="D22" s="2">
        <f>C22*E22/100</f>
        <v>4.7701200000000004</v>
      </c>
      <c r="E22" s="2">
        <v>3.81</v>
      </c>
      <c r="F22" s="2">
        <v>0</v>
      </c>
      <c r="G22" s="2">
        <f>(C22*F22/100)*1000</f>
        <v>0</v>
      </c>
    </row>
    <row r="23" spans="1:7" x14ac:dyDescent="0.35">
      <c r="A23" s="6">
        <v>22</v>
      </c>
      <c r="B23" s="2" t="s">
        <v>28</v>
      </c>
      <c r="C23" s="2">
        <v>1.45</v>
      </c>
      <c r="D23" s="2">
        <f>C23*E23/100</f>
        <v>5.423E-2</v>
      </c>
      <c r="E23" s="2">
        <v>3.74</v>
      </c>
      <c r="F23" s="2">
        <v>0.54</v>
      </c>
      <c r="G23" s="2">
        <f>(C23*F23/100)*1000</f>
        <v>7.83</v>
      </c>
    </row>
    <row r="24" spans="1:7" x14ac:dyDescent="0.35">
      <c r="A24" s="6">
        <v>23</v>
      </c>
      <c r="B24" s="2" t="s">
        <v>29</v>
      </c>
      <c r="C24" s="2">
        <v>0.17499999999999999</v>
      </c>
      <c r="D24" s="2">
        <f>C24*E24/100</f>
        <v>5.7749999999999989E-3</v>
      </c>
      <c r="E24" s="2">
        <v>3.3</v>
      </c>
      <c r="F24" s="2">
        <v>0.7</v>
      </c>
      <c r="G24" s="2">
        <f>(C24*F24/100)*1000</f>
        <v>1.2249999999999996</v>
      </c>
    </row>
    <row r="25" spans="1:7" x14ac:dyDescent="0.35">
      <c r="A25" s="6">
        <v>24</v>
      </c>
      <c r="B25" s="2" t="s">
        <v>30</v>
      </c>
      <c r="C25" s="2">
        <v>1</v>
      </c>
      <c r="D25" s="2">
        <f>C25*E25/100</f>
        <v>3.2000000000000001E-2</v>
      </c>
      <c r="E25" s="2">
        <v>3.2</v>
      </c>
      <c r="F25" s="2">
        <v>0.6</v>
      </c>
      <c r="G25" s="2">
        <f>(C25*F25/100)*1000</f>
        <v>6</v>
      </c>
    </row>
    <row r="26" spans="1:7" x14ac:dyDescent="0.35">
      <c r="A26" s="6">
        <v>25</v>
      </c>
      <c r="B26" s="2" t="s">
        <v>31</v>
      </c>
      <c r="C26" s="2">
        <v>0.125</v>
      </c>
      <c r="D26" s="2">
        <f>C26*E26/100</f>
        <v>3.9624999999999999E-3</v>
      </c>
      <c r="E26" s="2">
        <v>3.17</v>
      </c>
      <c r="F26" s="2">
        <v>1.6970000000000001</v>
      </c>
      <c r="G26" s="2">
        <f>(C26*F26/100)*1000</f>
        <v>2.1212499999999999</v>
      </c>
    </row>
    <row r="27" spans="1:7" x14ac:dyDescent="0.35">
      <c r="A27" s="6">
        <v>26</v>
      </c>
      <c r="B27" s="2" t="s">
        <v>32</v>
      </c>
      <c r="C27" s="2">
        <v>49.4</v>
      </c>
      <c r="D27" s="2">
        <f>C27*E27/100</f>
        <v>1.5610400000000002</v>
      </c>
      <c r="E27" s="2">
        <v>3.16</v>
      </c>
      <c r="F27" s="2">
        <v>0.40100000000000002</v>
      </c>
      <c r="G27" s="2">
        <f>(C27*F27/100)*1000</f>
        <v>198.09399999999999</v>
      </c>
    </row>
    <row r="28" spans="1:7" x14ac:dyDescent="0.35">
      <c r="A28" s="6">
        <v>27</v>
      </c>
      <c r="B28" s="2" t="s">
        <v>33</v>
      </c>
      <c r="C28" s="2">
        <v>35.4</v>
      </c>
      <c r="D28" s="2">
        <f>C28*E28/100</f>
        <v>1.1186400000000001</v>
      </c>
      <c r="E28" s="2">
        <v>3.16</v>
      </c>
      <c r="F28" s="2">
        <v>0.13800000000000001</v>
      </c>
      <c r="G28" s="2">
        <f>(C28*F28/100)*1000</f>
        <v>48.851999999999997</v>
      </c>
    </row>
    <row r="29" spans="1:7" x14ac:dyDescent="0.35">
      <c r="A29" s="6">
        <v>28</v>
      </c>
      <c r="B29" s="2" t="s">
        <v>34</v>
      </c>
      <c r="C29" s="2">
        <v>38.200000000000003</v>
      </c>
      <c r="D29" s="2">
        <f>C29*E29/100</f>
        <v>1.1154400000000002</v>
      </c>
      <c r="E29" s="2">
        <v>2.92</v>
      </c>
      <c r="F29" s="2">
        <v>0.86799999999999999</v>
      </c>
      <c r="G29" s="2">
        <f>(C29*F29/100)*1000</f>
        <v>331.57600000000002</v>
      </c>
    </row>
    <row r="30" spans="1:7" x14ac:dyDescent="0.35">
      <c r="A30" s="6">
        <v>29</v>
      </c>
      <c r="B30" s="2" t="s">
        <v>35</v>
      </c>
      <c r="C30" s="2">
        <v>0.438</v>
      </c>
      <c r="D30" s="2">
        <f>C30*E30/100</f>
        <v>1.2702E-2</v>
      </c>
      <c r="E30" s="2">
        <v>2.9</v>
      </c>
      <c r="F30" s="2">
        <v>0.6</v>
      </c>
      <c r="G30" s="2">
        <f>(C30*F30/100)*1000</f>
        <v>2.6279999999999997</v>
      </c>
    </row>
    <row r="31" spans="1:7" x14ac:dyDescent="0.35">
      <c r="A31" s="6">
        <v>30</v>
      </c>
      <c r="B31" s="2" t="s">
        <v>36</v>
      </c>
      <c r="C31" s="2">
        <v>32.4</v>
      </c>
      <c r="D31" s="2">
        <f>C31*E31/100</f>
        <v>0.93959999999999999</v>
      </c>
      <c r="E31" s="2">
        <v>2.9</v>
      </c>
      <c r="F31" s="2">
        <v>0.18</v>
      </c>
      <c r="G31" s="2">
        <f>(C31*F31/100)*1000</f>
        <v>58.32</v>
      </c>
    </row>
    <row r="32" spans="1:7" x14ac:dyDescent="0.35">
      <c r="A32" s="6">
        <v>31</v>
      </c>
      <c r="B32" s="2" t="s">
        <v>37</v>
      </c>
      <c r="C32" s="2">
        <v>45.8</v>
      </c>
      <c r="D32" s="2">
        <f>C32*E32/100</f>
        <v>1.28698</v>
      </c>
      <c r="E32" s="2">
        <v>2.81</v>
      </c>
      <c r="F32" s="2">
        <v>0.3</v>
      </c>
      <c r="G32" s="2">
        <f>(C32*F32/100)*1000</f>
        <v>137.4</v>
      </c>
    </row>
    <row r="33" spans="1:7" x14ac:dyDescent="0.35">
      <c r="A33" s="6">
        <v>32</v>
      </c>
      <c r="B33" s="2" t="s">
        <v>38</v>
      </c>
      <c r="C33" s="2">
        <v>280</v>
      </c>
      <c r="D33" s="2">
        <f>C33*E33/100</f>
        <v>7.8120000000000003</v>
      </c>
      <c r="E33" s="2">
        <v>2.79</v>
      </c>
      <c r="F33" s="2">
        <v>0.189</v>
      </c>
      <c r="G33" s="2">
        <f>(C33*F33/100)*1000</f>
        <v>529.20000000000005</v>
      </c>
    </row>
    <row r="34" spans="1:7" x14ac:dyDescent="0.35">
      <c r="A34" s="6">
        <v>33</v>
      </c>
      <c r="B34" s="2" t="s">
        <v>39</v>
      </c>
      <c r="C34" s="2">
        <v>627</v>
      </c>
      <c r="D34" s="2">
        <f>C34*E34/100</f>
        <v>17.179800000000004</v>
      </c>
      <c r="E34" s="2">
        <v>2.74</v>
      </c>
      <c r="F34" s="2">
        <v>0</v>
      </c>
      <c r="G34" s="2">
        <f>(C34*F34/100)*1000</f>
        <v>0</v>
      </c>
    </row>
    <row r="35" spans="1:7" x14ac:dyDescent="0.35">
      <c r="A35" s="6">
        <v>34</v>
      </c>
      <c r="B35" s="2" t="s">
        <v>40</v>
      </c>
      <c r="C35" s="2">
        <v>760</v>
      </c>
      <c r="D35" s="2">
        <f>C35*E35/100</f>
        <v>20.748000000000001</v>
      </c>
      <c r="E35" s="2">
        <v>2.73</v>
      </c>
      <c r="F35" s="2">
        <v>0</v>
      </c>
      <c r="G35" s="2">
        <f>(C35*F35/100)*1000</f>
        <v>0</v>
      </c>
    </row>
    <row r="36" spans="1:7" x14ac:dyDescent="0.35">
      <c r="A36" s="6">
        <v>35</v>
      </c>
      <c r="B36" s="2" t="s">
        <v>41</v>
      </c>
      <c r="C36" s="2">
        <v>26.8</v>
      </c>
      <c r="D36" s="2">
        <f>C36*E36/100</f>
        <v>0.72896000000000005</v>
      </c>
      <c r="E36" s="2">
        <v>2.72</v>
      </c>
      <c r="F36" s="2">
        <v>0.2</v>
      </c>
      <c r="G36" s="2">
        <f>(C36*F36/100)*1000</f>
        <v>53.6</v>
      </c>
    </row>
    <row r="37" spans="1:7" x14ac:dyDescent="0.35">
      <c r="A37" s="6">
        <v>36</v>
      </c>
      <c r="B37" s="2" t="s">
        <v>42</v>
      </c>
      <c r="C37" s="2">
        <v>10</v>
      </c>
      <c r="D37" s="2">
        <f>C37*E37/100</f>
        <v>0.27</v>
      </c>
      <c r="E37" s="2">
        <v>2.7</v>
      </c>
      <c r="F37" s="2">
        <v>0.45</v>
      </c>
      <c r="G37" s="2">
        <f>(C37*F37/100)*1000</f>
        <v>45</v>
      </c>
    </row>
    <row r="38" spans="1:7" x14ac:dyDescent="0.35">
      <c r="A38" s="6">
        <v>37</v>
      </c>
      <c r="B38" s="2" t="s">
        <v>43</v>
      </c>
      <c r="C38" s="2">
        <v>8.2000000000000007E-3</v>
      </c>
      <c r="D38" s="2">
        <f>C38*E38/100</f>
        <v>2.2140000000000004E-4</v>
      </c>
      <c r="E38" s="2">
        <v>2.7</v>
      </c>
      <c r="F38" s="2">
        <v>0.35</v>
      </c>
      <c r="G38" s="2">
        <f>(C38*F38/100)*1000</f>
        <v>2.8700000000000003E-2</v>
      </c>
    </row>
    <row r="39" spans="1:7" x14ac:dyDescent="0.35">
      <c r="A39" s="6">
        <v>38</v>
      </c>
      <c r="B39" s="2" t="s">
        <v>44</v>
      </c>
      <c r="C39" s="2">
        <v>0.18099999999999999</v>
      </c>
      <c r="D39" s="2">
        <f>C39*E39/100</f>
        <v>4.8869999999999999E-3</v>
      </c>
      <c r="E39" s="2">
        <v>2.7</v>
      </c>
      <c r="F39" s="2">
        <v>0.3</v>
      </c>
      <c r="G39" s="2">
        <f>(C39*F39/100)*1000</f>
        <v>0.54299999999999993</v>
      </c>
    </row>
    <row r="40" spans="1:7" x14ac:dyDescent="0.35">
      <c r="A40" s="6">
        <v>39</v>
      </c>
      <c r="B40" s="2" t="s">
        <v>45</v>
      </c>
      <c r="C40" s="2">
        <v>4.05</v>
      </c>
      <c r="D40" s="2">
        <f>C40*E40/100</f>
        <v>0.10894499999999999</v>
      </c>
      <c r="E40" s="2">
        <v>2.69</v>
      </c>
      <c r="F40" s="2">
        <v>6.8000000000000005E-2</v>
      </c>
      <c r="G40" s="2">
        <f>(C40*F40/100)*1000</f>
        <v>2.7540000000000004</v>
      </c>
    </row>
    <row r="41" spans="1:7" x14ac:dyDescent="0.35">
      <c r="A41" s="6">
        <v>40</v>
      </c>
      <c r="B41" s="2" t="s">
        <v>46</v>
      </c>
      <c r="C41" s="2">
        <v>37.1</v>
      </c>
      <c r="D41" s="2">
        <f>C41*E41/100</f>
        <v>0.97572999999999999</v>
      </c>
      <c r="E41" s="2">
        <v>2.63</v>
      </c>
      <c r="F41" s="2">
        <v>8.7999999999999995E-2</v>
      </c>
      <c r="G41" s="2">
        <f>(C41*F41/100)*1000</f>
        <v>32.648000000000003</v>
      </c>
    </row>
    <row r="42" spans="1:7" x14ac:dyDescent="0.35">
      <c r="A42" s="6">
        <v>41</v>
      </c>
      <c r="B42" s="2" t="s">
        <v>47</v>
      </c>
      <c r="C42" s="2">
        <v>14.5</v>
      </c>
      <c r="D42" s="2">
        <f>C42*E42/100</f>
        <v>0.37990000000000002</v>
      </c>
      <c r="E42" s="2">
        <v>2.62</v>
      </c>
      <c r="F42" s="2">
        <v>0.71599999999999997</v>
      </c>
      <c r="G42" s="2">
        <f>(C42*F42/100)*1000</f>
        <v>103.82</v>
      </c>
    </row>
    <row r="43" spans="1:7" x14ac:dyDescent="0.35">
      <c r="A43" s="6">
        <v>42</v>
      </c>
      <c r="B43" s="2" t="s">
        <v>48</v>
      </c>
      <c r="C43" s="2">
        <v>8</v>
      </c>
      <c r="D43" s="2">
        <f>C43*E43/100</f>
        <v>0.2</v>
      </c>
      <c r="E43" s="2">
        <v>2.5</v>
      </c>
      <c r="F43" s="2">
        <v>1.1000000000000001</v>
      </c>
      <c r="G43" s="2">
        <f>(C43*F43/100)*1000</f>
        <v>88.000000000000014</v>
      </c>
    </row>
    <row r="44" spans="1:7" x14ac:dyDescent="0.35">
      <c r="A44" s="6">
        <v>43</v>
      </c>
      <c r="B44" s="2" t="s">
        <v>49</v>
      </c>
      <c r="C44" s="2">
        <v>113</v>
      </c>
      <c r="D44" s="2">
        <f>C44*E44/100</f>
        <v>2.8024</v>
      </c>
      <c r="E44" s="2">
        <v>2.48</v>
      </c>
      <c r="F44" s="2">
        <v>0.16400000000000001</v>
      </c>
      <c r="G44" s="2">
        <f>(C44*F44/100)*1000</f>
        <v>185.32000000000002</v>
      </c>
    </row>
    <row r="45" spans="1:7" x14ac:dyDescent="0.35">
      <c r="A45" s="6">
        <v>44</v>
      </c>
      <c r="B45" s="2" t="s">
        <v>50</v>
      </c>
      <c r="C45" s="2">
        <v>40.299999999999997</v>
      </c>
      <c r="D45" s="2">
        <f>C45*E45/100</f>
        <v>0.99137999999999993</v>
      </c>
      <c r="E45" s="2">
        <v>2.46</v>
      </c>
      <c r="F45" s="2">
        <v>0.17299999999999999</v>
      </c>
      <c r="G45" s="2">
        <f>(C45*F45/100)*1000</f>
        <v>69.718999999999994</v>
      </c>
    </row>
    <row r="46" spans="1:7" x14ac:dyDescent="0.35">
      <c r="A46" s="6">
        <v>45</v>
      </c>
      <c r="B46" s="2" t="s">
        <v>51</v>
      </c>
      <c r="C46" s="2">
        <v>12.8</v>
      </c>
      <c r="D46" s="2">
        <f>C46*E46/100</f>
        <v>0.31104000000000004</v>
      </c>
      <c r="E46" s="2">
        <v>2.4300000000000002</v>
      </c>
      <c r="F46" s="2">
        <v>0.45800000000000002</v>
      </c>
      <c r="G46" s="2">
        <f>(C46*F46/100)*1000</f>
        <v>58.624000000000009</v>
      </c>
    </row>
    <row r="47" spans="1:7" x14ac:dyDescent="0.35">
      <c r="A47" s="6">
        <v>46</v>
      </c>
      <c r="B47" s="2" t="s">
        <v>52</v>
      </c>
      <c r="C47" s="2">
        <v>11.7</v>
      </c>
      <c r="D47" s="2">
        <f>C47*E47/100</f>
        <v>0.27026999999999995</v>
      </c>
      <c r="E47" s="2">
        <v>2.31</v>
      </c>
      <c r="F47" s="2">
        <v>0.501</v>
      </c>
      <c r="G47" s="2">
        <f>(C47*F47/100)*1000</f>
        <v>58.617000000000004</v>
      </c>
    </row>
    <row r="48" spans="1:7" x14ac:dyDescent="0.35">
      <c r="A48" s="6">
        <v>47</v>
      </c>
      <c r="B48" s="2" t="s">
        <v>53</v>
      </c>
      <c r="C48" s="2">
        <v>2.6</v>
      </c>
      <c r="D48" s="2">
        <f>C48*E48/100</f>
        <v>5.8500000000000003E-2</v>
      </c>
      <c r="E48" s="2">
        <v>2.25</v>
      </c>
      <c r="F48" s="2">
        <v>2.3079999999999998</v>
      </c>
      <c r="G48" s="2">
        <f>(C48*F48/100)*1000</f>
        <v>60.007999999999996</v>
      </c>
    </row>
    <row r="49" spans="1:7" x14ac:dyDescent="0.35">
      <c r="A49" s="6">
        <v>48</v>
      </c>
      <c r="B49" s="2" t="s">
        <v>54</v>
      </c>
      <c r="C49" s="2">
        <v>47.5</v>
      </c>
      <c r="D49" s="2">
        <f>C49*E49/100</f>
        <v>1.0450000000000002</v>
      </c>
      <c r="E49" s="2">
        <v>2.2000000000000002</v>
      </c>
      <c r="F49" s="2">
        <v>0</v>
      </c>
      <c r="G49" s="2">
        <f>(C49*F49/100)*1000</f>
        <v>0</v>
      </c>
    </row>
    <row r="50" spans="1:7" x14ac:dyDescent="0.35">
      <c r="A50" s="6">
        <v>49</v>
      </c>
      <c r="B50" s="2" t="s">
        <v>55</v>
      </c>
      <c r="C50" s="2">
        <v>122</v>
      </c>
      <c r="D50" s="2">
        <f>C50*E50/100</f>
        <v>2.5131999999999999</v>
      </c>
      <c r="E50" s="2">
        <v>2.06</v>
      </c>
      <c r="F50" s="2">
        <v>0.27600000000000002</v>
      </c>
      <c r="G50" s="2">
        <f>(C50*F50/100)*1000</f>
        <v>336.72</v>
      </c>
    </row>
    <row r="51" spans="1:7" x14ac:dyDescent="0.35">
      <c r="A51" s="6">
        <v>50</v>
      </c>
      <c r="B51" s="2" t="s">
        <v>56</v>
      </c>
      <c r="C51" s="2">
        <v>36.299999999999997</v>
      </c>
      <c r="D51" s="2">
        <f>C51*E51/100</f>
        <v>0.72599999999999998</v>
      </c>
      <c r="E51" s="2">
        <v>2</v>
      </c>
      <c r="F51" s="2">
        <v>1.4</v>
      </c>
      <c r="G51" s="2">
        <f>(C51*F51/100)*1000</f>
        <v>508.2</v>
      </c>
    </row>
    <row r="52" spans="1:7" x14ac:dyDescent="0.35">
      <c r="A52" s="6">
        <v>51</v>
      </c>
      <c r="B52" s="2" t="s">
        <v>57</v>
      </c>
      <c r="C52" s="2">
        <v>0.22500000000000001</v>
      </c>
      <c r="D52" s="2">
        <f>C52*E52/100</f>
        <v>4.4549999999999998E-3</v>
      </c>
      <c r="E52" s="2">
        <v>1.98</v>
      </c>
      <c r="F52" s="2">
        <v>0.06</v>
      </c>
      <c r="G52" s="2">
        <f>(C52*F52/100)*1000</f>
        <v>0.13500000000000001</v>
      </c>
    </row>
    <row r="53" spans="1:7" x14ac:dyDescent="0.35">
      <c r="A53" s="6">
        <v>52</v>
      </c>
      <c r="B53" s="2" t="s">
        <v>58</v>
      </c>
      <c r="C53" s="2">
        <v>115</v>
      </c>
      <c r="D53" s="2">
        <f>C53*E53/100</f>
        <v>2.2425000000000002</v>
      </c>
      <c r="E53" s="2">
        <v>1.95</v>
      </c>
      <c r="F53" s="2">
        <v>0.36199999999999999</v>
      </c>
      <c r="G53" s="2">
        <f>(C53*F53/100)*1000</f>
        <v>416.29999999999995</v>
      </c>
    </row>
    <row r="54" spans="1:7" x14ac:dyDescent="0.35">
      <c r="A54" s="6">
        <v>53</v>
      </c>
      <c r="B54" s="2" t="s">
        <v>59</v>
      </c>
      <c r="C54" s="2">
        <v>0.16500000000000001</v>
      </c>
      <c r="D54" s="2">
        <f>C54*E54/100</f>
        <v>3.0195000000000005E-3</v>
      </c>
      <c r="E54" s="2">
        <v>1.83</v>
      </c>
      <c r="F54" s="2">
        <v>0.92</v>
      </c>
      <c r="G54" s="2">
        <f>(C54*F54/100)*1000</f>
        <v>1.5180000000000002</v>
      </c>
    </row>
    <row r="55" spans="1:7" x14ac:dyDescent="0.35">
      <c r="A55" s="6">
        <v>54</v>
      </c>
      <c r="B55" s="2" t="s">
        <v>60</v>
      </c>
      <c r="C55" s="2">
        <v>8.1</v>
      </c>
      <c r="D55" s="2">
        <f>C55*E55/100</f>
        <v>0.14580000000000001</v>
      </c>
      <c r="E55" s="2">
        <v>1.8</v>
      </c>
      <c r="F55" s="2">
        <v>0.88400000000000001</v>
      </c>
      <c r="G55" s="2">
        <f>(C55*F55/100)*1000</f>
        <v>71.603999999999999</v>
      </c>
    </row>
    <row r="56" spans="1:7" x14ac:dyDescent="0.35">
      <c r="A56" s="6">
        <v>55</v>
      </c>
      <c r="B56" s="2" t="s">
        <v>61</v>
      </c>
      <c r="C56" s="2">
        <v>5.5</v>
      </c>
      <c r="D56" s="2">
        <f>C56*E56/100</f>
        <v>9.9000000000000005E-2</v>
      </c>
      <c r="E56" s="2">
        <v>1.8</v>
      </c>
      <c r="F56" s="2">
        <v>0</v>
      </c>
      <c r="G56" s="2">
        <f>(C56*F56/100)*1000</f>
        <v>0</v>
      </c>
    </row>
    <row r="57" spans="1:7" x14ac:dyDescent="0.35">
      <c r="A57" s="6">
        <v>56</v>
      </c>
      <c r="B57" s="2" t="s">
        <v>62</v>
      </c>
      <c r="C57" s="2">
        <v>45.5</v>
      </c>
      <c r="D57" s="2">
        <f>C57*E57/100</f>
        <v>0.79625000000000001</v>
      </c>
      <c r="E57" s="2">
        <v>1.75</v>
      </c>
      <c r="F57" s="2">
        <v>0</v>
      </c>
      <c r="G57" s="2">
        <f>(C57*F57/100)*1000</f>
        <v>0</v>
      </c>
    </row>
    <row r="58" spans="1:7" x14ac:dyDescent="0.35">
      <c r="A58" s="6">
        <v>57</v>
      </c>
      <c r="B58" s="2" t="s">
        <v>63</v>
      </c>
      <c r="C58" s="2">
        <v>235</v>
      </c>
      <c r="D58" s="2">
        <f>C58*E58/100</f>
        <v>3.9950000000000001</v>
      </c>
      <c r="E58" s="2">
        <v>1.7</v>
      </c>
      <c r="F58" s="2">
        <v>0</v>
      </c>
      <c r="G58" s="2">
        <f>(C58*F58/100)*1000</f>
        <v>0</v>
      </c>
    </row>
    <row r="59" spans="1:7" x14ac:dyDescent="0.35">
      <c r="A59" s="6">
        <v>58</v>
      </c>
      <c r="B59" s="2" t="s">
        <v>64</v>
      </c>
      <c r="C59" s="2">
        <v>339</v>
      </c>
      <c r="D59" s="2">
        <f>C59*E59/100</f>
        <v>5.6951999999999998</v>
      </c>
      <c r="E59" s="2">
        <v>1.68</v>
      </c>
      <c r="F59" s="2">
        <v>0</v>
      </c>
      <c r="G59" s="2">
        <f>(C59*F59/100)*1000</f>
        <v>0</v>
      </c>
    </row>
    <row r="60" spans="1:7" x14ac:dyDescent="0.35">
      <c r="A60" s="6">
        <v>59</v>
      </c>
      <c r="B60" s="2" t="s">
        <v>65</v>
      </c>
      <c r="C60" s="2">
        <v>4.4000000000000004</v>
      </c>
      <c r="D60" s="2">
        <f>C60*E60/100</f>
        <v>7.2160000000000002E-2</v>
      </c>
      <c r="E60" s="2">
        <v>1.64</v>
      </c>
      <c r="F60" s="2">
        <v>0</v>
      </c>
      <c r="G60" s="2">
        <f>(C60*F60/100)*1000</f>
        <v>0</v>
      </c>
    </row>
    <row r="61" spans="1:7" x14ac:dyDescent="0.35">
      <c r="A61" s="6">
        <v>60</v>
      </c>
      <c r="B61" s="2" t="s">
        <v>66</v>
      </c>
      <c r="C61" s="2">
        <v>1.89</v>
      </c>
      <c r="D61" s="2">
        <f>C61*E61/100</f>
        <v>3.0617999999999999E-2</v>
      </c>
      <c r="E61" s="2">
        <v>1.62</v>
      </c>
      <c r="F61" s="2">
        <v>1.1200000000000001</v>
      </c>
      <c r="G61" s="2">
        <f>(C61*F61/100)*1000</f>
        <v>21.167999999999999</v>
      </c>
    </row>
    <row r="62" spans="1:7" x14ac:dyDescent="0.35">
      <c r="A62" s="6">
        <v>61</v>
      </c>
      <c r="B62" s="2" t="s">
        <v>67</v>
      </c>
      <c r="C62" s="2">
        <v>5.27</v>
      </c>
      <c r="D62" s="2">
        <f>C62*E62/100</f>
        <v>7.1672E-2</v>
      </c>
      <c r="E62" s="2">
        <v>1.36</v>
      </c>
      <c r="F62" s="2">
        <v>0.05</v>
      </c>
      <c r="G62" s="2">
        <f>(C62*F62/100)*1000</f>
        <v>2.6350000000000002</v>
      </c>
    </row>
    <row r="63" spans="1:7" x14ac:dyDescent="0.35">
      <c r="A63" s="6">
        <v>62</v>
      </c>
      <c r="B63" s="2" t="s">
        <v>68</v>
      </c>
      <c r="C63" s="2">
        <v>300</v>
      </c>
      <c r="D63" s="2">
        <f>C63*E63/100</f>
        <v>3.69</v>
      </c>
      <c r="E63" s="2">
        <v>1.23</v>
      </c>
      <c r="F63" s="2">
        <v>0.58799999999999997</v>
      </c>
      <c r="G63" s="2">
        <f>(C63*F63/100)*1000</f>
        <v>1763.9999999999998</v>
      </c>
    </row>
    <row r="64" spans="1:7" x14ac:dyDescent="0.35">
      <c r="A64" s="6"/>
      <c r="B64" s="2"/>
      <c r="C64" s="2"/>
      <c r="D64" s="2"/>
      <c r="E64" s="2"/>
      <c r="F64" s="2"/>
      <c r="G64" s="2"/>
    </row>
    <row r="65" spans="1:7" x14ac:dyDescent="0.35">
      <c r="A65" s="6"/>
      <c r="B65" s="2"/>
      <c r="C65" s="2"/>
      <c r="D65" s="2"/>
      <c r="E65" s="2"/>
      <c r="F65" s="2"/>
      <c r="G65" s="2"/>
    </row>
    <row r="66" spans="1:7" x14ac:dyDescent="0.35">
      <c r="A66" s="6"/>
      <c r="B66" s="2"/>
      <c r="C66" s="2"/>
      <c r="D66" s="2"/>
      <c r="E66" s="2" t="s">
        <v>70</v>
      </c>
      <c r="F66" s="2">
        <f>SUM(G2:G63)</f>
        <v>7392.810950000001</v>
      </c>
      <c r="G66" s="2"/>
    </row>
    <row r="67" spans="1:7" x14ac:dyDescent="0.35">
      <c r="B67" s="2"/>
      <c r="C67" s="2"/>
      <c r="D67" s="3"/>
      <c r="E67" s="2" t="s">
        <v>69</v>
      </c>
      <c r="F67" s="3">
        <v>0.65</v>
      </c>
      <c r="G67" s="2"/>
    </row>
    <row r="68" spans="1:7" x14ac:dyDescent="0.35">
      <c r="B68" s="2"/>
      <c r="C68" s="2"/>
      <c r="D68" s="2"/>
      <c r="E68" s="2" t="s">
        <v>71</v>
      </c>
      <c r="F68" s="2">
        <f>F66*0.65</f>
        <v>4805.3271175000009</v>
      </c>
      <c r="G68" s="2"/>
    </row>
    <row r="69" spans="1:7" x14ac:dyDescent="0.35">
      <c r="B69" s="2"/>
      <c r="C69" s="4"/>
      <c r="D69" s="5"/>
      <c r="E69" s="4" t="s">
        <v>74</v>
      </c>
      <c r="F69" s="4">
        <f>F68+F70</f>
        <v>5443.0841845000004</v>
      </c>
      <c r="G69" s="2"/>
    </row>
    <row r="70" spans="1:7" x14ac:dyDescent="0.35">
      <c r="B70" s="2"/>
      <c r="C70" s="2"/>
      <c r="D70" s="2"/>
      <c r="E70" s="2" t="s">
        <v>72</v>
      </c>
      <c r="F70" s="2">
        <v>637.75706699999989</v>
      </c>
      <c r="G70" s="2"/>
    </row>
    <row r="71" spans="1:7" x14ac:dyDescent="0.35">
      <c r="B71" s="2"/>
      <c r="C71" s="2"/>
      <c r="D71" s="2"/>
      <c r="E71" s="2" t="s">
        <v>73</v>
      </c>
      <c r="F71" s="2">
        <v>19100</v>
      </c>
      <c r="G71" s="2"/>
    </row>
    <row r="72" spans="1:7" x14ac:dyDescent="0.35">
      <c r="B72" s="2"/>
      <c r="C72" s="2"/>
      <c r="D72" s="2"/>
      <c r="E72" s="2" t="s">
        <v>71</v>
      </c>
      <c r="F72" s="2">
        <f>F71*0.65</f>
        <v>12415</v>
      </c>
      <c r="G72" s="2"/>
    </row>
    <row r="73" spans="1:7" x14ac:dyDescent="0.35">
      <c r="B73" s="2"/>
      <c r="C73" s="4"/>
      <c r="D73" s="5"/>
      <c r="E73" s="4" t="s">
        <v>75</v>
      </c>
      <c r="F73" s="4">
        <f>F72+F69</f>
        <v>17858.0841845</v>
      </c>
      <c r="G73" s="2">
        <f>F73-1700</f>
        <v>16158.0841845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Cobalt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Mashaka Lubenga</dc:creator>
  <cp:lastModifiedBy>Mashaka Lubenga</cp:lastModifiedBy>
  <dcterms:created xsi:type="dcterms:W3CDTF">2026-05-26T13:16:36Z</dcterms:created>
  <dcterms:modified xsi:type="dcterms:W3CDTF">2026-05-26T13:28:03Z</dcterms:modified>
</cp:coreProperties>
</file>